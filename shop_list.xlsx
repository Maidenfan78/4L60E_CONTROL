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v\ProgramingProjects\4l60e_control\"/>
    </mc:Choice>
  </mc:AlternateContent>
  <xr:revisionPtr revIDLastSave="0" documentId="13_ncr:1_{74B9DCA4-EBB1-47CB-9468-53DF5BA2D42C}" xr6:coauthVersionLast="47" xr6:coauthVersionMax="47" xr10:uidLastSave="{00000000-0000-0000-0000-000000000000}"/>
  <bookViews>
    <workbookView xWindow="-30828" yWindow="-108" windowWidth="30936" windowHeight="16776" xr2:uid="{1B2ED39F-C98B-47A0-806E-21E42B04E4F8}"/>
  </bookViews>
  <sheets>
    <sheet name="shop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20" i="1"/>
  <c r="H25" i="1"/>
  <c r="H24" i="1"/>
  <c r="H23" i="1"/>
  <c r="H22" i="1"/>
  <c r="H21" i="1"/>
  <c r="H12" i="1"/>
  <c r="H3" i="1"/>
  <c r="H4" i="1"/>
  <c r="H5" i="1"/>
  <c r="H6" i="1"/>
  <c r="H27" i="1"/>
  <c r="H7" i="1"/>
  <c r="H8" i="1"/>
  <c r="H9" i="1"/>
  <c r="H10" i="1"/>
  <c r="H11" i="1"/>
  <c r="H13" i="1"/>
  <c r="H14" i="1"/>
  <c r="H15" i="1"/>
  <c r="H17" i="1"/>
  <c r="H18" i="1"/>
  <c r="H19" i="1"/>
  <c r="H26" i="1"/>
  <c r="H2" i="1"/>
  <c r="M2" i="1" l="1"/>
</calcChain>
</file>

<file path=xl/sharedStrings.xml><?xml version="1.0" encoding="utf-8"?>
<sst xmlns="http://schemas.openxmlformats.org/spreadsheetml/2006/main" count="113" uniqueCount="82">
  <si>
    <t>Name</t>
  </si>
  <si>
    <t>SKU</t>
  </si>
  <si>
    <t>PRICE</t>
  </si>
  <si>
    <t>TOTAL</t>
  </si>
  <si>
    <t>Total Price</t>
  </si>
  <si>
    <t>Teensy 4.1 (Headers)</t>
  </si>
  <si>
    <t>DEV-16996</t>
  </si>
  <si>
    <t xml:space="preserve">Raspberry Pi Zero 2 W (Wireless) with Soldered Male Headers		</t>
  </si>
  <si>
    <t>CE09937</t>
  </si>
  <si>
    <t>Adafruit CP2102N Friend - USB to Serial Converter</t>
  </si>
  <si>
    <t xml:space="preserve">ADA5335 </t>
  </si>
  <si>
    <t>USB to UART Converter (CP2102)</t>
  </si>
  <si>
    <t xml:space="preserve">CE09216 </t>
  </si>
  <si>
    <t>STORE</t>
  </si>
  <si>
    <t>core-electronics</t>
  </si>
  <si>
    <t>DigyKey</t>
  </si>
  <si>
    <t>497-7522-5-ND</t>
  </si>
  <si>
    <t>749-2061-1-ND</t>
  </si>
  <si>
    <t>4878-1N4001CT-ND</t>
  </si>
  <si>
    <t>BUY AMOUNT</t>
  </si>
  <si>
    <t>PROJECT QTY</t>
  </si>
  <si>
    <t>LM2903NNS/NOPB-ND</t>
  </si>
  <si>
    <t>1738-DFR0831-ND</t>
  </si>
  <si>
    <t xml:space="preserve">P19651CT-ND </t>
  </si>
  <si>
    <t>CAP CER 0.1UF 100V X7R RADIAL</t>
  </si>
  <si>
    <t>478-11031-1-ND</t>
  </si>
  <si>
    <t>CAP ALUM 1000UF 20% 50V RADIAL</t>
  </si>
  <si>
    <t>DIODE SCHOTTKY 45V 40A ITO220AC</t>
  </si>
  <si>
    <t>VFT4045BP-M3/4W-ND</t>
  </si>
  <si>
    <t>811-2196-5-ND</t>
  </si>
  <si>
    <t>DC-DC BUCK CONVERTER 7-24V TO 5V for pi</t>
  </si>
  <si>
    <t>DC DC CONVERTER 5V 8W for teensy</t>
  </si>
  <si>
    <t>FIXED IND 110UH 4A 42 MOHM TH</t>
  </si>
  <si>
    <t>535-13506-ND</t>
  </si>
  <si>
    <t>EPC flyback diode (1N4001) or 1N4007</t>
  </si>
  <si>
    <t>1N4148FS-ND</t>
  </si>
  <si>
    <t>749-2062-1-ND</t>
  </si>
  <si>
    <t>Schmitt trigger buffer</t>
  </si>
  <si>
    <t>TC74HC14APF-ND</t>
  </si>
  <si>
    <t>IC INVERT SCHMITT 6CH 1INP 14DIP</t>
  </si>
  <si>
    <t xml:space="preserve">749-2060-1-ND </t>
  </si>
  <si>
    <t>RES 100 KOHM 1% 1/2W AXIAL</t>
  </si>
  <si>
    <t>RES 20 KOHM 1% 1/2W AXIAL</t>
  </si>
  <si>
    <t>749-2072-1-ND</t>
  </si>
  <si>
    <t>749-2068-1-ND</t>
  </si>
  <si>
    <t>RES 1 KOHM 1% 1/2W AXIAL</t>
  </si>
  <si>
    <t>RES 2.21 KOHM 1% 1/2W AXIAL</t>
  </si>
  <si>
    <t>749-2075-1-ND</t>
  </si>
  <si>
    <t>RES 4.7K OHM 1% 0.6W AXIAL</t>
  </si>
  <si>
    <t>A105962CT-ND</t>
  </si>
  <si>
    <t>Resistors</t>
  </si>
  <si>
    <t>RES 10 KOHM 1% 1/2W AXIAL</t>
  </si>
  <si>
    <t>RES 100 OHM 1% 1/2W AXIAL</t>
  </si>
  <si>
    <t>Diodes</t>
  </si>
  <si>
    <t>Inductor</t>
  </si>
  <si>
    <t>Capacitor</t>
  </si>
  <si>
    <t>IC COMPARATOR 2 GEN PUR 8DIP</t>
  </si>
  <si>
    <t>Comparator VR conditioner</t>
  </si>
  <si>
    <t>12V→5V buck for Teensy</t>
  </si>
  <si>
    <t>12V→5V buck for Pi</t>
  </si>
  <si>
    <t>Description</t>
  </si>
  <si>
    <t>Capacitor Small RC filter</t>
  </si>
  <si>
    <t>5KP36CALFCT-ND</t>
  </si>
  <si>
    <t xml:space="preserve">Real‑time controller </t>
  </si>
  <si>
    <t xml:space="preserve">Logging / UI </t>
  </si>
  <si>
    <t>UART level</t>
  </si>
  <si>
    <t>N-Channel 60 V 30A (Tc) 70W (Tc) Through Hole TO-220</t>
  </si>
  <si>
    <t>Low‑side MOSFET STP36NF06L</t>
  </si>
  <si>
    <t>TVS diodes SSA/SSB/TCC 5KP36CA</t>
  </si>
  <si>
    <t>TVS DIODE 36VWM 58.1VC P600</t>
  </si>
  <si>
    <t>DIODE STANDARD 100V 200MA DO35</t>
  </si>
  <si>
    <t>Diodes 1N4148</t>
  </si>
  <si>
    <t>DIODE STANDARD 50V 1A DO204AC</t>
  </si>
  <si>
    <t>High-energy 12V TVS diode for load dump P6KE18A</t>
  </si>
  <si>
    <t>TVS DIODE 15.3VWM 25.2VC DO15</t>
  </si>
  <si>
    <t>P6KE18AFSCT-ND</t>
  </si>
  <si>
    <t>22 µF ±10% 50V Ceramic Capacitor X7R Radial</t>
  </si>
  <si>
    <t>565-KTD500B226K76A0T00CT-ND</t>
  </si>
  <si>
    <t>Capacitor power supply input</t>
  </si>
  <si>
    <t>Capacitor power supply output</t>
  </si>
  <si>
    <t>CAP CER 22UF 16V X7R RADIAL</t>
  </si>
  <si>
    <t>445-FK20X7R1C226M-ND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</si>
</sst>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9"/>
      <color theme="0" tint="-0.249977111117893"/>
      <name val="Arial"/>
      <family val="2"/>
    </font>
    <font>
      <sz val="9"/>
      <color theme="0" tint="-0.24997711111789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Font="1" applyFill="1"/>
    <xf numFmtId="8" fontId="18" fillId="33" borderId="0" xfId="0" applyNumberFormat="1" applyFont="1" applyFill="1"/>
    <xf numFmtId="0" fontId="19" fillId="33" borderId="0" xfId="0" applyFont="1" applyFill="1"/>
    <xf numFmtId="0" fontId="20" fillId="33" borderId="0" xfId="0" applyFont="1" applyFill="1"/>
    <xf numFmtId="0" fontId="18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D706-D351-4BCD-BF11-85338B485E47}">
  <dimension ref="A1:M28"/>
  <sheetViews>
    <sheetView tabSelected="1" workbookViewId="0">
      <selection activeCell="E14" sqref="E14"/>
    </sheetView>
  </sheetViews>
  <sheetFormatPr defaultRowHeight="15" x14ac:dyDescent="0.25"/>
  <cols>
    <col min="1" max="1" width="44.85546875" style="1" bestFit="1" customWidth="1"/>
    <col min="2" max="2" width="54.42578125" style="1" customWidth="1"/>
    <col min="3" max="3" width="13.140625" style="1" customWidth="1"/>
    <col min="4" max="4" width="18.85546875" style="1" customWidth="1"/>
    <col min="5" max="5" width="20.85546875" style="1" bestFit="1" customWidth="1"/>
    <col min="6" max="6" width="12.7109375" style="1" bestFit="1" customWidth="1"/>
    <col min="7" max="8" width="6.5703125" style="1" bestFit="1" customWidth="1"/>
    <col min="9" max="9" width="5" style="1" customWidth="1"/>
    <col min="10" max="10" width="6.140625" style="1" customWidth="1"/>
    <col min="11" max="11" width="5.140625" style="1" customWidth="1"/>
    <col min="12" max="12" width="4" style="1" customWidth="1"/>
    <col min="13" max="16384" width="9.140625" style="1"/>
  </cols>
  <sheetData>
    <row r="1" spans="1:13" x14ac:dyDescent="0.25">
      <c r="A1" s="1" t="s">
        <v>60</v>
      </c>
      <c r="B1" s="1" t="s">
        <v>0</v>
      </c>
      <c r="C1" s="1" t="s">
        <v>20</v>
      </c>
      <c r="D1" s="1" t="s">
        <v>13</v>
      </c>
      <c r="E1" s="1" t="s">
        <v>1</v>
      </c>
      <c r="F1" s="1" t="s">
        <v>19</v>
      </c>
      <c r="G1" s="1" t="s">
        <v>2</v>
      </c>
      <c r="H1" s="1" t="s">
        <v>3</v>
      </c>
      <c r="M1" s="1" t="s">
        <v>4</v>
      </c>
    </row>
    <row r="2" spans="1:13" x14ac:dyDescent="0.25">
      <c r="A2" s="1" t="s">
        <v>63</v>
      </c>
      <c r="B2" s="1" t="s">
        <v>5</v>
      </c>
      <c r="C2" s="1">
        <v>1</v>
      </c>
      <c r="D2" s="1" t="s">
        <v>14</v>
      </c>
      <c r="E2" s="1" t="s">
        <v>6</v>
      </c>
      <c r="F2" s="1">
        <v>1</v>
      </c>
      <c r="G2" s="2">
        <v>60.65</v>
      </c>
      <c r="H2" s="2">
        <f>G2*F2</f>
        <v>60.65</v>
      </c>
      <c r="M2" s="1">
        <f>SUM(H:H)</f>
        <v>198.82600000000008</v>
      </c>
    </row>
    <row r="3" spans="1:13" x14ac:dyDescent="0.25">
      <c r="A3" s="1" t="s">
        <v>64</v>
      </c>
      <c r="B3" s="1" t="s">
        <v>7</v>
      </c>
      <c r="C3" s="1">
        <v>1</v>
      </c>
      <c r="D3" s="1" t="s">
        <v>14</v>
      </c>
      <c r="E3" s="1" t="s">
        <v>8</v>
      </c>
      <c r="F3" s="1">
        <v>1</v>
      </c>
      <c r="G3" s="2">
        <v>32.75</v>
      </c>
      <c r="H3" s="2">
        <f t="shared" ref="H3:H20" si="0">G3*F3</f>
        <v>32.75</v>
      </c>
    </row>
    <row r="4" spans="1:13" x14ac:dyDescent="0.25">
      <c r="A4" s="1" t="s">
        <v>65</v>
      </c>
      <c r="B4" s="1" t="s">
        <v>9</v>
      </c>
      <c r="C4" s="1">
        <v>1</v>
      </c>
      <c r="D4" s="1" t="s">
        <v>14</v>
      </c>
      <c r="E4" s="1" t="s">
        <v>10</v>
      </c>
      <c r="F4" s="1">
        <v>1</v>
      </c>
      <c r="G4" s="2">
        <v>11.7</v>
      </c>
      <c r="H4" s="2">
        <f t="shared" si="0"/>
        <v>11.7</v>
      </c>
    </row>
    <row r="5" spans="1:13" x14ac:dyDescent="0.25">
      <c r="A5" s="1" t="s">
        <v>65</v>
      </c>
      <c r="B5" s="1" t="s">
        <v>11</v>
      </c>
      <c r="C5" s="1">
        <v>1</v>
      </c>
      <c r="D5" s="1" t="s">
        <v>14</v>
      </c>
      <c r="E5" s="1" t="s">
        <v>12</v>
      </c>
      <c r="F5" s="1">
        <v>1</v>
      </c>
      <c r="G5" s="2">
        <v>3.3</v>
      </c>
      <c r="H5" s="2">
        <f t="shared" si="0"/>
        <v>3.3</v>
      </c>
    </row>
    <row r="6" spans="1:13" x14ac:dyDescent="0.25">
      <c r="A6" s="1" t="s">
        <v>67</v>
      </c>
      <c r="B6" s="1" t="s">
        <v>66</v>
      </c>
      <c r="C6" s="1">
        <v>4</v>
      </c>
      <c r="D6" s="1" t="s">
        <v>15</v>
      </c>
      <c r="E6" s="3" t="s">
        <v>16</v>
      </c>
      <c r="F6" s="1">
        <v>4</v>
      </c>
      <c r="G6" s="2">
        <v>2.83</v>
      </c>
      <c r="H6" s="2">
        <f t="shared" si="0"/>
        <v>11.32</v>
      </c>
    </row>
    <row r="7" spans="1:13" x14ac:dyDescent="0.25">
      <c r="A7" s="1" t="s">
        <v>34</v>
      </c>
      <c r="B7" s="1" t="s">
        <v>72</v>
      </c>
      <c r="C7" s="1">
        <v>1</v>
      </c>
      <c r="D7" s="1" t="s">
        <v>15</v>
      </c>
      <c r="E7" s="1" t="s">
        <v>18</v>
      </c>
      <c r="F7" s="1">
        <v>10</v>
      </c>
      <c r="G7" s="2">
        <v>0.128</v>
      </c>
      <c r="H7" s="2">
        <f t="shared" si="0"/>
        <v>1.28</v>
      </c>
    </row>
    <row r="8" spans="1:13" x14ac:dyDescent="0.25">
      <c r="A8" s="1" t="s">
        <v>68</v>
      </c>
      <c r="B8" s="1" t="s">
        <v>69</v>
      </c>
      <c r="C8" s="1">
        <v>3</v>
      </c>
      <c r="D8" s="1" t="s">
        <v>15</v>
      </c>
      <c r="E8" s="1" t="s">
        <v>62</v>
      </c>
      <c r="F8" s="1">
        <v>3</v>
      </c>
      <c r="G8" s="4">
        <v>3.75</v>
      </c>
      <c r="H8" s="2">
        <f t="shared" si="0"/>
        <v>11.25</v>
      </c>
    </row>
    <row r="9" spans="1:13" x14ac:dyDescent="0.25">
      <c r="A9" s="1" t="s">
        <v>73</v>
      </c>
      <c r="B9" s="1" t="s">
        <v>74</v>
      </c>
      <c r="C9" s="1">
        <v>1</v>
      </c>
      <c r="D9" s="1" t="s">
        <v>15</v>
      </c>
      <c r="E9" s="1" t="s">
        <v>75</v>
      </c>
      <c r="F9" s="1">
        <v>1</v>
      </c>
      <c r="G9" s="2">
        <v>0.56999999999999995</v>
      </c>
      <c r="H9" s="2">
        <f t="shared" si="0"/>
        <v>0.56999999999999995</v>
      </c>
    </row>
    <row r="10" spans="1:13" x14ac:dyDescent="0.25">
      <c r="A10" s="1" t="s">
        <v>57</v>
      </c>
      <c r="B10" s="5" t="s">
        <v>56</v>
      </c>
      <c r="C10" s="1">
        <v>1</v>
      </c>
      <c r="D10" s="1" t="s">
        <v>15</v>
      </c>
      <c r="E10" s="1" t="s">
        <v>21</v>
      </c>
      <c r="F10" s="1">
        <v>1</v>
      </c>
      <c r="G10" s="2">
        <v>2.02</v>
      </c>
      <c r="H10" s="2">
        <f t="shared" si="0"/>
        <v>2.02</v>
      </c>
    </row>
    <row r="11" spans="1:13" x14ac:dyDescent="0.25">
      <c r="A11" s="1" t="s">
        <v>59</v>
      </c>
      <c r="B11" s="1" t="s">
        <v>30</v>
      </c>
      <c r="C11" s="1">
        <v>1</v>
      </c>
      <c r="D11" s="1" t="s">
        <v>15</v>
      </c>
      <c r="E11" s="1" t="s">
        <v>22</v>
      </c>
      <c r="F11" s="1">
        <v>1</v>
      </c>
      <c r="G11" s="2">
        <v>7.75</v>
      </c>
      <c r="H11" s="2">
        <f t="shared" si="0"/>
        <v>7.75</v>
      </c>
    </row>
    <row r="12" spans="1:13" x14ac:dyDescent="0.25">
      <c r="A12" s="1" t="s">
        <v>58</v>
      </c>
      <c r="B12" s="1" t="s">
        <v>31</v>
      </c>
      <c r="C12" s="1">
        <v>1</v>
      </c>
      <c r="D12" s="1" t="s">
        <v>15</v>
      </c>
      <c r="E12" s="1" t="s">
        <v>29</v>
      </c>
      <c r="F12" s="1">
        <v>1</v>
      </c>
      <c r="G12" s="2">
        <v>7.86</v>
      </c>
      <c r="H12" s="2">
        <f t="shared" si="0"/>
        <v>7.86</v>
      </c>
    </row>
    <row r="13" spans="1:13" x14ac:dyDescent="0.25">
      <c r="A13" s="1" t="s">
        <v>55</v>
      </c>
      <c r="B13" s="1" t="s">
        <v>26</v>
      </c>
      <c r="C13" s="1">
        <v>3</v>
      </c>
      <c r="D13" s="1" t="s">
        <v>15</v>
      </c>
      <c r="E13" s="1" t="s">
        <v>23</v>
      </c>
      <c r="F13" s="1">
        <v>3</v>
      </c>
      <c r="G13" s="2">
        <v>3.49</v>
      </c>
      <c r="H13" s="2">
        <f t="shared" si="0"/>
        <v>10.47</v>
      </c>
    </row>
    <row r="14" spans="1:13" x14ac:dyDescent="0.25">
      <c r="A14" s="1" t="s">
        <v>61</v>
      </c>
      <c r="B14" s="1" t="s">
        <v>24</v>
      </c>
      <c r="C14" s="1">
        <v>12</v>
      </c>
      <c r="D14" s="1" t="s">
        <v>15</v>
      </c>
      <c r="E14" s="1" t="s">
        <v>25</v>
      </c>
      <c r="F14" s="1">
        <v>12</v>
      </c>
      <c r="G14" s="2">
        <v>0.40300000000000002</v>
      </c>
      <c r="H14" s="2">
        <f t="shared" si="0"/>
        <v>4.8360000000000003</v>
      </c>
    </row>
    <row r="15" spans="1:13" x14ac:dyDescent="0.25">
      <c r="A15" s="1" t="s">
        <v>78</v>
      </c>
      <c r="B15" s="1" t="s">
        <v>76</v>
      </c>
      <c r="C15" s="1">
        <v>2</v>
      </c>
      <c r="D15" s="1" t="s">
        <v>15</v>
      </c>
      <c r="E15" s="4" t="s">
        <v>77</v>
      </c>
      <c r="F15" s="1">
        <v>2</v>
      </c>
      <c r="G15" s="2">
        <v>4.55</v>
      </c>
      <c r="H15" s="2">
        <f t="shared" si="0"/>
        <v>9.1</v>
      </c>
    </row>
    <row r="16" spans="1:13" x14ac:dyDescent="0.25">
      <c r="A16" s="1" t="s">
        <v>79</v>
      </c>
      <c r="B16" s="1" t="s">
        <v>80</v>
      </c>
      <c r="C16" s="1">
        <v>1</v>
      </c>
      <c r="D16" s="1" t="s">
        <v>15</v>
      </c>
      <c r="E16" s="4" t="s">
        <v>81</v>
      </c>
      <c r="F16" s="1">
        <v>1</v>
      </c>
      <c r="G16" s="2">
        <v>1.28</v>
      </c>
      <c r="H16" s="2">
        <f t="shared" si="0"/>
        <v>1.28</v>
      </c>
    </row>
    <row r="17" spans="1:8" x14ac:dyDescent="0.25">
      <c r="A17" s="1" t="s">
        <v>53</v>
      </c>
      <c r="B17" s="1" t="s">
        <v>27</v>
      </c>
      <c r="C17" s="1">
        <v>1</v>
      </c>
      <c r="D17" s="1" t="s">
        <v>15</v>
      </c>
      <c r="E17" s="1" t="s">
        <v>28</v>
      </c>
      <c r="F17" s="1">
        <v>1</v>
      </c>
      <c r="G17" s="2">
        <v>3.48</v>
      </c>
      <c r="H17" s="2">
        <f t="shared" si="0"/>
        <v>3.48</v>
      </c>
    </row>
    <row r="18" spans="1:8" x14ac:dyDescent="0.25">
      <c r="A18" s="1" t="s">
        <v>54</v>
      </c>
      <c r="B18" s="1" t="s">
        <v>32</v>
      </c>
      <c r="C18" s="1">
        <v>1</v>
      </c>
      <c r="D18" s="1" t="s">
        <v>15</v>
      </c>
      <c r="E18" s="1" t="s">
        <v>33</v>
      </c>
      <c r="F18" s="1">
        <v>1</v>
      </c>
      <c r="G18" s="2">
        <v>4.0599999999999996</v>
      </c>
      <c r="H18" s="2">
        <f t="shared" si="0"/>
        <v>4.0599999999999996</v>
      </c>
    </row>
    <row r="19" spans="1:8" x14ac:dyDescent="0.25">
      <c r="A19" s="1" t="s">
        <v>71</v>
      </c>
      <c r="B19" s="1" t="s">
        <v>70</v>
      </c>
      <c r="C19" s="1">
        <v>1</v>
      </c>
      <c r="D19" s="1" t="s">
        <v>15</v>
      </c>
      <c r="E19" s="1" t="s">
        <v>35</v>
      </c>
      <c r="F19" s="1">
        <v>10</v>
      </c>
      <c r="G19" s="2">
        <v>6.5000000000000002E-2</v>
      </c>
      <c r="H19" s="2">
        <f t="shared" si="0"/>
        <v>0.65</v>
      </c>
    </row>
    <row r="20" spans="1:8" x14ac:dyDescent="0.25">
      <c r="A20" s="1" t="s">
        <v>37</v>
      </c>
      <c r="B20" s="1" t="s">
        <v>39</v>
      </c>
      <c r="C20" s="1">
        <v>1</v>
      </c>
      <c r="D20" s="1" t="s">
        <v>15</v>
      </c>
      <c r="E20" s="1" t="s">
        <v>38</v>
      </c>
      <c r="F20" s="1">
        <v>1</v>
      </c>
      <c r="G20" s="2">
        <v>0.43</v>
      </c>
      <c r="H20" s="2">
        <f t="shared" si="0"/>
        <v>0.43</v>
      </c>
    </row>
    <row r="21" spans="1:8" x14ac:dyDescent="0.25">
      <c r="A21" s="1" t="s">
        <v>50</v>
      </c>
      <c r="B21" s="1" t="s">
        <v>41</v>
      </c>
      <c r="C21" s="1">
        <v>1</v>
      </c>
      <c r="D21" s="1" t="s">
        <v>15</v>
      </c>
      <c r="E21" s="1" t="s">
        <v>40</v>
      </c>
      <c r="F21" s="1">
        <v>10</v>
      </c>
      <c r="G21" s="2">
        <v>0.183</v>
      </c>
      <c r="H21" s="2">
        <f t="shared" ref="H21:H25" si="1">G21*F21</f>
        <v>1.83</v>
      </c>
    </row>
    <row r="22" spans="1:8" x14ac:dyDescent="0.25">
      <c r="A22" s="1" t="s">
        <v>50</v>
      </c>
      <c r="B22" s="1" t="s">
        <v>42</v>
      </c>
      <c r="C22" s="1">
        <v>1</v>
      </c>
      <c r="D22" s="1" t="s">
        <v>15</v>
      </c>
      <c r="E22" s="1" t="s">
        <v>43</v>
      </c>
      <c r="F22" s="1">
        <v>10</v>
      </c>
      <c r="G22" s="2">
        <v>0.183</v>
      </c>
      <c r="H22" s="2">
        <f t="shared" si="1"/>
        <v>1.83</v>
      </c>
    </row>
    <row r="23" spans="1:8" x14ac:dyDescent="0.25">
      <c r="A23" s="1" t="s">
        <v>50</v>
      </c>
      <c r="B23" s="1" t="s">
        <v>45</v>
      </c>
      <c r="C23" s="1">
        <v>1</v>
      </c>
      <c r="D23" s="1" t="s">
        <v>15</v>
      </c>
      <c r="E23" s="1" t="s">
        <v>44</v>
      </c>
      <c r="F23" s="1">
        <v>10</v>
      </c>
      <c r="G23" s="2">
        <v>0.183</v>
      </c>
      <c r="H23" s="2">
        <f t="shared" si="1"/>
        <v>1.83</v>
      </c>
    </row>
    <row r="24" spans="1:8" x14ac:dyDescent="0.25">
      <c r="A24" s="1" t="s">
        <v>50</v>
      </c>
      <c r="B24" s="1" t="s">
        <v>46</v>
      </c>
      <c r="C24" s="1">
        <v>1</v>
      </c>
      <c r="D24" s="1" t="s">
        <v>15</v>
      </c>
      <c r="E24" s="1" t="s">
        <v>47</v>
      </c>
      <c r="F24" s="1">
        <v>10</v>
      </c>
      <c r="G24" s="2">
        <v>0.183</v>
      </c>
      <c r="H24" s="2">
        <f t="shared" si="1"/>
        <v>1.83</v>
      </c>
    </row>
    <row r="25" spans="1:8" x14ac:dyDescent="0.25">
      <c r="A25" s="1" t="s">
        <v>50</v>
      </c>
      <c r="B25" s="1" t="s">
        <v>48</v>
      </c>
      <c r="C25" s="1">
        <v>1</v>
      </c>
      <c r="D25" s="1" t="s">
        <v>15</v>
      </c>
      <c r="E25" s="1" t="s">
        <v>49</v>
      </c>
      <c r="F25" s="1">
        <v>10</v>
      </c>
      <c r="G25" s="2">
        <v>0.126</v>
      </c>
      <c r="H25" s="2">
        <f t="shared" si="1"/>
        <v>1.26</v>
      </c>
    </row>
    <row r="26" spans="1:8" x14ac:dyDescent="0.25">
      <c r="A26" s="1" t="s">
        <v>50</v>
      </c>
      <c r="B26" s="1" t="s">
        <v>51</v>
      </c>
      <c r="C26" s="1">
        <v>1</v>
      </c>
      <c r="D26" s="1" t="s">
        <v>15</v>
      </c>
      <c r="E26" s="1" t="s">
        <v>36</v>
      </c>
      <c r="F26" s="1">
        <v>20</v>
      </c>
      <c r="G26" s="2">
        <v>0.183</v>
      </c>
      <c r="H26" s="2">
        <f>G26*F26</f>
        <v>3.66</v>
      </c>
    </row>
    <row r="27" spans="1:8" x14ac:dyDescent="0.25">
      <c r="A27" s="1" t="s">
        <v>50</v>
      </c>
      <c r="B27" s="1" t="s">
        <v>52</v>
      </c>
      <c r="C27" s="1">
        <v>4</v>
      </c>
      <c r="D27" s="1" t="s">
        <v>15</v>
      </c>
      <c r="E27" s="1" t="s">
        <v>17</v>
      </c>
      <c r="F27" s="1">
        <v>10</v>
      </c>
      <c r="G27" s="2">
        <v>0.183</v>
      </c>
      <c r="H27" s="2">
        <f>G27*F27</f>
        <v>1.83</v>
      </c>
    </row>
    <row r="28" spans="1:8" x14ac:dyDescent="0.25">
      <c r="H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Savo Mrsic</cp:lastModifiedBy>
  <dcterms:created xsi:type="dcterms:W3CDTF">2026-01-25T05:57:16Z</dcterms:created>
  <dcterms:modified xsi:type="dcterms:W3CDTF">2026-01-29T12:47:42Z</dcterms:modified>
</cp:coreProperties>
</file>