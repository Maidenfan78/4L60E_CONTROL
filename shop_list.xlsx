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v\ProgramingProjects\4l60e_control\"/>
    </mc:Choice>
  </mc:AlternateContent>
  <xr:revisionPtr revIDLastSave="0" documentId="13_ncr:1_{7BC4D449-1135-43A6-9D59-0431A322E3F2}" xr6:coauthVersionLast="47" xr6:coauthVersionMax="47" xr10:uidLastSave="{00000000-0000-0000-0000-000000000000}"/>
  <bookViews>
    <workbookView xWindow="-30828" yWindow="-108" windowWidth="30936" windowHeight="16776" xr2:uid="{1B2ED39F-C98B-47A0-806E-21E42B04E4F8}"/>
  </bookViews>
  <sheets>
    <sheet name="shop_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H24" i="1"/>
  <c r="H23" i="1"/>
  <c r="H22" i="1"/>
  <c r="H21" i="1"/>
  <c r="H20" i="1"/>
  <c r="H12" i="1"/>
  <c r="H3" i="1"/>
  <c r="H4" i="1"/>
  <c r="H5" i="1"/>
  <c r="H6" i="1"/>
  <c r="H26" i="1"/>
  <c r="H7" i="1"/>
  <c r="H8" i="1"/>
  <c r="H9" i="1"/>
  <c r="H10" i="1"/>
  <c r="H11" i="1"/>
  <c r="H13" i="1"/>
  <c r="H14" i="1"/>
  <c r="H15" i="1"/>
  <c r="H16" i="1"/>
  <c r="H17" i="1"/>
  <c r="H18" i="1"/>
  <c r="H25" i="1"/>
  <c r="H19" i="1"/>
  <c r="H2" i="1"/>
</calcChain>
</file>

<file path=xl/sharedStrings.xml><?xml version="1.0" encoding="utf-8"?>
<sst xmlns="http://schemas.openxmlformats.org/spreadsheetml/2006/main" count="109" uniqueCount="78">
  <si>
    <t>Name</t>
  </si>
  <si>
    <t>SKU</t>
  </si>
  <si>
    <t>PRICE</t>
  </si>
  <si>
    <t>TOTAL</t>
  </si>
  <si>
    <t>Total Price</t>
  </si>
  <si>
    <t>Teensy 4.1 (Headers)</t>
  </si>
  <si>
    <t>DEV-16996</t>
  </si>
  <si>
    <t xml:space="preserve">Raspberry Pi Zero 2 W (Wireless) with Soldered Male Headers		</t>
  </si>
  <si>
    <t>CE09937</t>
  </si>
  <si>
    <t>Adafruit CP2102N Friend - USB to Serial Converter</t>
  </si>
  <si>
    <t xml:space="preserve">ADA5335 </t>
  </si>
  <si>
    <t>USB to UART Converter (CP2102)</t>
  </si>
  <si>
    <t xml:space="preserve">CE09216 </t>
  </si>
  <si>
    <t>STORE</t>
  </si>
  <si>
    <t>core-electronics</t>
  </si>
  <si>
    <t>DigyKey</t>
  </si>
  <si>
    <t>497-7522-5-ND</t>
  </si>
  <si>
    <t>749-2061-1-ND</t>
  </si>
  <si>
    <t>4878-1N4001CT-ND</t>
  </si>
  <si>
    <t>BUY AMOUNT</t>
  </si>
  <si>
    <t>PROJECT QTY</t>
  </si>
  <si>
    <t xml:space="preserve">18-5KP58ACT-ND </t>
  </si>
  <si>
    <t>LM2903NNS/NOPB-ND</t>
  </si>
  <si>
    <t>1738-DFR0831-ND</t>
  </si>
  <si>
    <t xml:space="preserve">P19651CT-ND </t>
  </si>
  <si>
    <t>CAP CER 0.1UF 100V X7R RADIAL</t>
  </si>
  <si>
    <t>478-11031-1-ND</t>
  </si>
  <si>
    <t>CAP CER 1UF 50V X7R RADIAL</t>
  </si>
  <si>
    <t>399-9886-1-ND</t>
  </si>
  <si>
    <t>CAP ALUM 1000UF 20% 50V RADIAL</t>
  </si>
  <si>
    <t>DIODE SCHOTTKY 45V 40A ITO220AC</t>
  </si>
  <si>
    <t>VFT4045BP-M3/4W-ND</t>
  </si>
  <si>
    <t>811-2196-5-ND</t>
  </si>
  <si>
    <t>DC-DC BUCK CONVERTER 7-24V TO 5V for pi</t>
  </si>
  <si>
    <t>DC DC CONVERTER 5V 8W for teensy</t>
  </si>
  <si>
    <t>FIXED IND 110UH 4A 42 MOHM TH</t>
  </si>
  <si>
    <t>535-13506-ND</t>
  </si>
  <si>
    <t>EPC flyback diode (1N4001) or 1N4007</t>
  </si>
  <si>
    <t>1N4148FS-ND</t>
  </si>
  <si>
    <t>749-2062-1-ND</t>
  </si>
  <si>
    <t>Schmitt trigger buffer</t>
  </si>
  <si>
    <t>TC74HC14APF-ND</t>
  </si>
  <si>
    <t>IC INVERT SCHMITT 6CH 1INP 14DIP</t>
  </si>
  <si>
    <t xml:space="preserve">749-2060-1-ND </t>
  </si>
  <si>
    <t>RES 100 KOHM 1% 1/2W AXIAL</t>
  </si>
  <si>
    <t>RES 20 KOHM 1% 1/2W AXIAL</t>
  </si>
  <si>
    <t>749-2072-1-ND</t>
  </si>
  <si>
    <t>749-2068-1-ND</t>
  </si>
  <si>
    <t>RES 1 KOHM 1% 1/2W AXIAL</t>
  </si>
  <si>
    <t>RES 2.21 KOHM 1% 1/2W AXIAL</t>
  </si>
  <si>
    <t>749-2075-1-ND</t>
  </si>
  <si>
    <t>RES 4.7K OHM 1% 0.6W AXIAL</t>
  </si>
  <si>
    <t>A105962CT-ND</t>
  </si>
  <si>
    <t>Resistors</t>
  </si>
  <si>
    <t>RES 10 KOHM 1% 1/2W AXIAL</t>
  </si>
  <si>
    <t>RES 100 OHM 1% 1/2W AXIAL</t>
  </si>
  <si>
    <t>Diodes</t>
  </si>
  <si>
    <t>Inductor</t>
  </si>
  <si>
    <t>Capacitor</t>
  </si>
  <si>
    <t>IC COMPARATOR 2 GEN PUR 8DIP</t>
  </si>
  <si>
    <t>Comparator VR conditioner</t>
  </si>
  <si>
    <t>12V→5V buck for Teensy</t>
  </si>
  <si>
    <t>12V→5V buck for Pi</t>
  </si>
  <si>
    <t>Description</t>
  </si>
  <si>
    <t>Capacitor Small RC filter</t>
  </si>
  <si>
    <t>5KP36CALFCT-ND</t>
  </si>
  <si>
    <t xml:space="preserve">Real‑time controller </t>
  </si>
  <si>
    <t xml:space="preserve">Logging / UI </t>
  </si>
  <si>
    <t>UART level</t>
  </si>
  <si>
    <t>N-Channel 60 V 30A (Tc) 70W (Tc) Through Hole TO-220</t>
  </si>
  <si>
    <t>Low‑side MOSFET STP36NF06L</t>
  </si>
  <si>
    <t>TVS DIODE 58VWM 93.6VC P600</t>
  </si>
  <si>
    <t>High-energy 12V TVS diode for load dump 5KP58A</t>
  </si>
  <si>
    <t>TVS diodes SSA/SSB/TCC 5KP36CA</t>
  </si>
  <si>
    <t>TVS DIODE 36VWM 58.1VC P600</t>
  </si>
  <si>
    <t>DIODE STANDARD 100V 200MA DO35</t>
  </si>
  <si>
    <t>Diodes 1N4148</t>
  </si>
  <si>
    <t>DIODE STANDARD 50V 1A DO204AC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</si>
</sst>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rgb="FF393939"/>
      <name val="Arial"/>
      <family val="2"/>
    </font>
    <font>
      <sz val="9"/>
      <color rgb="FF444444"/>
      <name val="Arial"/>
      <family val="2"/>
    </font>
    <font>
      <sz val="9"/>
      <color rgb="FF222222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8" fontId="0" fillId="0" borderId="0" xfId="0" applyNumberFormat="1"/>
    <xf numFmtId="0" fontId="18" fillId="0" borderId="0" xfId="0" applyFont="1"/>
    <xf numFmtId="0" fontId="0" fillId="0" borderId="0" xfId="0" applyAlignment="1">
      <alignment wrapText="1"/>
    </xf>
    <xf numFmtId="0" fontId="19" fillId="0" borderId="0" xfId="0" applyFont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D706-D351-4BCD-BF11-85338B485E47}">
  <dimension ref="A1:M27"/>
  <sheetViews>
    <sheetView tabSelected="1" workbookViewId="0">
      <selection activeCell="J23" sqref="J23"/>
    </sheetView>
  </sheetViews>
  <sheetFormatPr defaultRowHeight="15" x14ac:dyDescent="0.25"/>
  <cols>
    <col min="1" max="1" width="44.85546875" bestFit="1" customWidth="1"/>
    <col min="2" max="2" width="54.42578125" customWidth="1"/>
    <col min="3" max="3" width="13.140625" customWidth="1"/>
    <col min="4" max="4" width="18.85546875" customWidth="1"/>
    <col min="5" max="5" width="20.85546875" bestFit="1" customWidth="1"/>
    <col min="6" max="6" width="12.7109375" bestFit="1" customWidth="1"/>
    <col min="7" max="8" width="6.5703125" bestFit="1" customWidth="1"/>
    <col min="9" max="9" width="5" customWidth="1"/>
    <col min="10" max="10" width="6.140625" customWidth="1"/>
    <col min="11" max="11" width="5.140625" customWidth="1"/>
    <col min="12" max="12" width="4" customWidth="1"/>
  </cols>
  <sheetData>
    <row r="1" spans="1:13" x14ac:dyDescent="0.25">
      <c r="A1" t="s">
        <v>63</v>
      </c>
      <c r="B1" t="s">
        <v>0</v>
      </c>
      <c r="C1" t="s">
        <v>20</v>
      </c>
      <c r="D1" t="s">
        <v>13</v>
      </c>
      <c r="E1" t="s">
        <v>1</v>
      </c>
      <c r="F1" t="s">
        <v>19</v>
      </c>
      <c r="G1" t="s">
        <v>2</v>
      </c>
      <c r="H1" t="s">
        <v>3</v>
      </c>
      <c r="M1" t="s">
        <v>4</v>
      </c>
    </row>
    <row r="2" spans="1:13" x14ac:dyDescent="0.25">
      <c r="A2" t="s">
        <v>66</v>
      </c>
      <c r="B2" t="s">
        <v>5</v>
      </c>
      <c r="C2">
        <v>1</v>
      </c>
      <c r="D2" t="s">
        <v>14</v>
      </c>
      <c r="E2" t="s">
        <v>6</v>
      </c>
      <c r="F2">
        <v>1</v>
      </c>
      <c r="G2" s="1">
        <v>60.65</v>
      </c>
      <c r="H2" s="1">
        <f>G2*F2</f>
        <v>60.65</v>
      </c>
      <c r="M2">
        <f>SUM(H:H)</f>
        <v>195.93600000000009</v>
      </c>
    </row>
    <row r="3" spans="1:13" x14ac:dyDescent="0.25">
      <c r="A3" t="s">
        <v>67</v>
      </c>
      <c r="B3" t="s">
        <v>7</v>
      </c>
      <c r="C3">
        <v>1</v>
      </c>
      <c r="D3" t="s">
        <v>14</v>
      </c>
      <c r="E3" t="s">
        <v>8</v>
      </c>
      <c r="F3">
        <v>1</v>
      </c>
      <c r="G3" s="1">
        <v>32.75</v>
      </c>
      <c r="H3" s="1">
        <f t="shared" ref="H3:H19" si="0">G3*F3</f>
        <v>32.75</v>
      </c>
    </row>
    <row r="4" spans="1:13" x14ac:dyDescent="0.25">
      <c r="A4" t="s">
        <v>68</v>
      </c>
      <c r="B4" t="s">
        <v>9</v>
      </c>
      <c r="C4">
        <v>1</v>
      </c>
      <c r="D4" t="s">
        <v>14</v>
      </c>
      <c r="E4" t="s">
        <v>10</v>
      </c>
      <c r="F4">
        <v>1</v>
      </c>
      <c r="G4" s="1">
        <v>11.7</v>
      </c>
      <c r="H4" s="1">
        <f t="shared" si="0"/>
        <v>11.7</v>
      </c>
    </row>
    <row r="5" spans="1:13" x14ac:dyDescent="0.25">
      <c r="A5" t="s">
        <v>68</v>
      </c>
      <c r="B5" t="s">
        <v>11</v>
      </c>
      <c r="C5">
        <v>1</v>
      </c>
      <c r="D5" t="s">
        <v>14</v>
      </c>
      <c r="E5" t="s">
        <v>12</v>
      </c>
      <c r="F5">
        <v>1</v>
      </c>
      <c r="G5" s="1">
        <v>3.3</v>
      </c>
      <c r="H5" s="1">
        <f t="shared" si="0"/>
        <v>3.3</v>
      </c>
    </row>
    <row r="6" spans="1:13" x14ac:dyDescent="0.25">
      <c r="A6" t="s">
        <v>70</v>
      </c>
      <c r="B6" t="s">
        <v>69</v>
      </c>
      <c r="C6">
        <v>4</v>
      </c>
      <c r="D6" t="s">
        <v>15</v>
      </c>
      <c r="E6" s="2" t="s">
        <v>16</v>
      </c>
      <c r="F6">
        <v>4</v>
      </c>
      <c r="G6" s="1">
        <v>2.83</v>
      </c>
      <c r="H6" s="1">
        <f t="shared" si="0"/>
        <v>11.32</v>
      </c>
    </row>
    <row r="7" spans="1:13" x14ac:dyDescent="0.25">
      <c r="A7" t="s">
        <v>37</v>
      </c>
      <c r="B7" t="s">
        <v>77</v>
      </c>
      <c r="C7">
        <v>1</v>
      </c>
      <c r="D7" t="s">
        <v>15</v>
      </c>
      <c r="E7" t="s">
        <v>18</v>
      </c>
      <c r="F7">
        <v>10</v>
      </c>
      <c r="G7" s="1">
        <v>0.128</v>
      </c>
      <c r="H7" s="1">
        <f t="shared" si="0"/>
        <v>1.28</v>
      </c>
    </row>
    <row r="8" spans="1:13" x14ac:dyDescent="0.25">
      <c r="A8" t="s">
        <v>73</v>
      </c>
      <c r="B8" t="s">
        <v>74</v>
      </c>
      <c r="C8">
        <v>4</v>
      </c>
      <c r="D8" t="s">
        <v>15</v>
      </c>
      <c r="E8" t="s">
        <v>65</v>
      </c>
      <c r="F8">
        <v>4</v>
      </c>
      <c r="G8" s="5">
        <v>3.75</v>
      </c>
      <c r="H8" s="1">
        <f t="shared" si="0"/>
        <v>15</v>
      </c>
    </row>
    <row r="9" spans="1:13" x14ac:dyDescent="0.25">
      <c r="A9" t="s">
        <v>72</v>
      </c>
      <c r="B9" t="s">
        <v>71</v>
      </c>
      <c r="C9">
        <v>1</v>
      </c>
      <c r="D9" t="s">
        <v>15</v>
      </c>
      <c r="E9" t="s">
        <v>21</v>
      </c>
      <c r="F9">
        <v>1</v>
      </c>
      <c r="G9" s="1">
        <v>2.62</v>
      </c>
      <c r="H9" s="1">
        <f t="shared" si="0"/>
        <v>2.62</v>
      </c>
    </row>
    <row r="10" spans="1:13" x14ac:dyDescent="0.25">
      <c r="A10" t="s">
        <v>60</v>
      </c>
      <c r="B10" s="3" t="s">
        <v>59</v>
      </c>
      <c r="C10">
        <v>1</v>
      </c>
      <c r="D10" t="s">
        <v>15</v>
      </c>
      <c r="E10" t="s">
        <v>22</v>
      </c>
      <c r="F10">
        <v>1</v>
      </c>
      <c r="G10" s="1">
        <v>2.02</v>
      </c>
      <c r="H10" s="1">
        <f t="shared" si="0"/>
        <v>2.02</v>
      </c>
    </row>
    <row r="11" spans="1:13" x14ac:dyDescent="0.25">
      <c r="A11" t="s">
        <v>62</v>
      </c>
      <c r="B11" t="s">
        <v>33</v>
      </c>
      <c r="C11">
        <v>1</v>
      </c>
      <c r="D11" t="s">
        <v>15</v>
      </c>
      <c r="E11" t="s">
        <v>23</v>
      </c>
      <c r="F11">
        <v>1</v>
      </c>
      <c r="G11" s="1">
        <v>7.75</v>
      </c>
      <c r="H11" s="1">
        <f t="shared" si="0"/>
        <v>7.75</v>
      </c>
    </row>
    <row r="12" spans="1:13" x14ac:dyDescent="0.25">
      <c r="A12" t="s">
        <v>61</v>
      </c>
      <c r="B12" t="s">
        <v>34</v>
      </c>
      <c r="C12">
        <v>1</v>
      </c>
      <c r="D12" t="s">
        <v>15</v>
      </c>
      <c r="E12" t="s">
        <v>32</v>
      </c>
      <c r="F12">
        <v>1</v>
      </c>
      <c r="G12" s="1">
        <v>7.86</v>
      </c>
      <c r="H12" s="1">
        <f t="shared" si="0"/>
        <v>7.86</v>
      </c>
    </row>
    <row r="13" spans="1:13" x14ac:dyDescent="0.25">
      <c r="A13" t="s">
        <v>58</v>
      </c>
      <c r="B13" t="s">
        <v>29</v>
      </c>
      <c r="C13">
        <v>3</v>
      </c>
      <c r="D13" t="s">
        <v>15</v>
      </c>
      <c r="E13" t="s">
        <v>24</v>
      </c>
      <c r="F13">
        <v>3</v>
      </c>
      <c r="G13" s="1">
        <v>3.49</v>
      </c>
      <c r="H13" s="1">
        <f t="shared" si="0"/>
        <v>10.47</v>
      </c>
    </row>
    <row r="14" spans="1:13" x14ac:dyDescent="0.25">
      <c r="A14" t="s">
        <v>64</v>
      </c>
      <c r="B14" t="s">
        <v>25</v>
      </c>
      <c r="C14">
        <v>12</v>
      </c>
      <c r="D14" t="s">
        <v>15</v>
      </c>
      <c r="E14" t="s">
        <v>26</v>
      </c>
      <c r="F14">
        <v>12</v>
      </c>
      <c r="G14" s="1">
        <v>0.40300000000000002</v>
      </c>
      <c r="H14" s="1">
        <f t="shared" si="0"/>
        <v>4.8360000000000003</v>
      </c>
    </row>
    <row r="15" spans="1:13" x14ac:dyDescent="0.25">
      <c r="A15" t="s">
        <v>58</v>
      </c>
      <c r="B15" t="s">
        <v>27</v>
      </c>
      <c r="C15">
        <v>1</v>
      </c>
      <c r="D15" t="s">
        <v>15</v>
      </c>
      <c r="E15" s="4" t="s">
        <v>28</v>
      </c>
      <c r="F15">
        <v>1</v>
      </c>
      <c r="G15" s="1">
        <v>1.69</v>
      </c>
      <c r="H15" s="1">
        <f t="shared" si="0"/>
        <v>1.69</v>
      </c>
    </row>
    <row r="16" spans="1:13" x14ac:dyDescent="0.25">
      <c r="A16" t="s">
        <v>56</v>
      </c>
      <c r="B16" t="s">
        <v>30</v>
      </c>
      <c r="C16">
        <v>1</v>
      </c>
      <c r="D16" t="s">
        <v>15</v>
      </c>
      <c r="E16" t="s">
        <v>31</v>
      </c>
      <c r="F16">
        <v>1</v>
      </c>
      <c r="G16" s="1">
        <v>3.48</v>
      </c>
      <c r="H16" s="1">
        <f t="shared" si="0"/>
        <v>3.48</v>
      </c>
    </row>
    <row r="17" spans="1:8" x14ac:dyDescent="0.25">
      <c r="A17" t="s">
        <v>57</v>
      </c>
      <c r="B17" t="s">
        <v>35</v>
      </c>
      <c r="C17">
        <v>1</v>
      </c>
      <c r="D17" t="s">
        <v>15</v>
      </c>
      <c r="E17" t="s">
        <v>36</v>
      </c>
      <c r="F17">
        <v>1</v>
      </c>
      <c r="G17" s="1">
        <v>4.0599999999999996</v>
      </c>
      <c r="H17" s="1">
        <f t="shared" si="0"/>
        <v>4.0599999999999996</v>
      </c>
    </row>
    <row r="18" spans="1:8" x14ac:dyDescent="0.25">
      <c r="A18" t="s">
        <v>76</v>
      </c>
      <c r="B18" t="s">
        <v>75</v>
      </c>
      <c r="C18">
        <v>1</v>
      </c>
      <c r="D18" t="s">
        <v>15</v>
      </c>
      <c r="E18" t="s">
        <v>38</v>
      </c>
      <c r="F18">
        <v>10</v>
      </c>
      <c r="G18" s="1">
        <v>6.5000000000000002E-2</v>
      </c>
      <c r="H18" s="1">
        <f t="shared" si="0"/>
        <v>0.65</v>
      </c>
    </row>
    <row r="19" spans="1:8" x14ac:dyDescent="0.25">
      <c r="A19" t="s">
        <v>40</v>
      </c>
      <c r="B19" t="s">
        <v>42</v>
      </c>
      <c r="C19">
        <v>1</v>
      </c>
      <c r="D19" t="s">
        <v>15</v>
      </c>
      <c r="E19" t="s">
        <v>41</v>
      </c>
      <c r="F19">
        <v>1</v>
      </c>
      <c r="G19" s="1">
        <v>0.43</v>
      </c>
      <c r="H19" s="1">
        <f t="shared" si="0"/>
        <v>0.43</v>
      </c>
    </row>
    <row r="20" spans="1:8" x14ac:dyDescent="0.25">
      <c r="A20" t="s">
        <v>53</v>
      </c>
      <c r="B20" t="s">
        <v>44</v>
      </c>
      <c r="C20">
        <v>1</v>
      </c>
      <c r="D20" t="s">
        <v>15</v>
      </c>
      <c r="E20" t="s">
        <v>43</v>
      </c>
      <c r="F20">
        <v>10</v>
      </c>
      <c r="G20" s="1">
        <v>0.183</v>
      </c>
      <c r="H20" s="1">
        <f t="shared" ref="H20:H24" si="1">G20*F20</f>
        <v>1.83</v>
      </c>
    </row>
    <row r="21" spans="1:8" x14ac:dyDescent="0.25">
      <c r="A21" t="s">
        <v>53</v>
      </c>
      <c r="B21" t="s">
        <v>45</v>
      </c>
      <c r="C21">
        <v>1</v>
      </c>
      <c r="D21" t="s">
        <v>15</v>
      </c>
      <c r="E21" t="s">
        <v>46</v>
      </c>
      <c r="F21">
        <v>10</v>
      </c>
      <c r="G21" s="1">
        <v>0.183</v>
      </c>
      <c r="H21" s="1">
        <f t="shared" si="1"/>
        <v>1.83</v>
      </c>
    </row>
    <row r="22" spans="1:8" x14ac:dyDescent="0.25">
      <c r="A22" t="s">
        <v>53</v>
      </c>
      <c r="B22" t="s">
        <v>48</v>
      </c>
      <c r="C22">
        <v>1</v>
      </c>
      <c r="D22" t="s">
        <v>15</v>
      </c>
      <c r="E22" t="s">
        <v>47</v>
      </c>
      <c r="F22">
        <v>10</v>
      </c>
      <c r="G22" s="1">
        <v>0.183</v>
      </c>
      <c r="H22" s="1">
        <f t="shared" si="1"/>
        <v>1.83</v>
      </c>
    </row>
    <row r="23" spans="1:8" x14ac:dyDescent="0.25">
      <c r="A23" t="s">
        <v>53</v>
      </c>
      <c r="B23" t="s">
        <v>49</v>
      </c>
      <c r="C23">
        <v>1</v>
      </c>
      <c r="D23" t="s">
        <v>15</v>
      </c>
      <c r="E23" t="s">
        <v>50</v>
      </c>
      <c r="F23">
        <v>10</v>
      </c>
      <c r="G23" s="1">
        <v>0.183</v>
      </c>
      <c r="H23" s="1">
        <f t="shared" si="1"/>
        <v>1.83</v>
      </c>
    </row>
    <row r="24" spans="1:8" x14ac:dyDescent="0.25">
      <c r="A24" t="s">
        <v>53</v>
      </c>
      <c r="B24" t="s">
        <v>51</v>
      </c>
      <c r="C24">
        <v>1</v>
      </c>
      <c r="D24" t="s">
        <v>15</v>
      </c>
      <c r="E24" t="s">
        <v>52</v>
      </c>
      <c r="F24">
        <v>10</v>
      </c>
      <c r="G24" s="1">
        <v>0.126</v>
      </c>
      <c r="H24" s="1">
        <f t="shared" si="1"/>
        <v>1.26</v>
      </c>
    </row>
    <row r="25" spans="1:8" x14ac:dyDescent="0.25">
      <c r="A25" t="s">
        <v>53</v>
      </c>
      <c r="B25" t="s">
        <v>54</v>
      </c>
      <c r="C25">
        <v>1</v>
      </c>
      <c r="D25" t="s">
        <v>15</v>
      </c>
      <c r="E25" t="s">
        <v>39</v>
      </c>
      <c r="F25">
        <v>20</v>
      </c>
      <c r="G25" s="1">
        <v>0.183</v>
      </c>
      <c r="H25" s="1">
        <f>G25*F25</f>
        <v>3.66</v>
      </c>
    </row>
    <row r="26" spans="1:8" x14ac:dyDescent="0.25">
      <c r="A26" t="s">
        <v>53</v>
      </c>
      <c r="B26" t="s">
        <v>55</v>
      </c>
      <c r="C26">
        <v>4</v>
      </c>
      <c r="D26" t="s">
        <v>15</v>
      </c>
      <c r="E26" t="s">
        <v>17</v>
      </c>
      <c r="F26">
        <v>10</v>
      </c>
      <c r="G26" s="1">
        <v>0.183</v>
      </c>
      <c r="H26" s="1">
        <f>G26*F26</f>
        <v>1.83</v>
      </c>
    </row>
    <row r="27" spans="1:8" x14ac:dyDescent="0.25">
      <c r="H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shop_list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Savo Mrsic</cp:lastModifiedBy>
  <dcterms:created xsi:type="dcterms:W3CDTF">2026-01-25T05:57:16Z</dcterms:created>
  <dcterms:modified xsi:type="dcterms:W3CDTF">2026-01-25T11:56:20Z</dcterms:modified>
</cp:coreProperties>
</file>